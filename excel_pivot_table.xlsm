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18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esktop\"/>
    </mc:Choice>
  </mc:AlternateContent>
  <xr:revisionPtr revIDLastSave="0" documentId="13_ncr:1_{E6845440-BA5F-449E-B113-FA6854B9C418}" xr6:coauthVersionLast="47" xr6:coauthVersionMax="47" xr10:uidLastSave="{00000000-0000-0000-0000-000000000000}"/>
  <bookViews>
    <workbookView xWindow="-120" yWindow="-120" windowWidth="29040" windowHeight="15720" xr2:uid="{19F65047-2A19-4B44-A85C-40ACB316C911}"/>
  </bookViews>
  <sheets>
    <sheet name="Profile" sheetId="25" r:id="rId1"/>
    <sheet name="Pivot Sheet" sheetId="24" r:id="rId2"/>
    <sheet name="Data Sheet" sheetId="1" r:id="rId3"/>
  </sheets>
  <definedNames>
    <definedName name="_xlpm.col_first" hidden="1" xlm="1">#NAME?</definedName>
    <definedName name="_xlpm.col_second" hidden="1" xlm="1">#NAME?</definedName>
    <definedName name="_xlpm.end_date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rangeA" hidden="1" xlm="1">#NAME?</definedName>
    <definedName name="_xlpm.rangeB" hidden="1" xlm="1">#NAME?</definedName>
    <definedName name="_xlpm.rangeC" hidden="1" xlm="1">#NAME?</definedName>
    <definedName name="_xlpm.rangeD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_xlpm.start_date" hidden="1" xlm="1">#NAME?</definedName>
    <definedName name="Weekends">_xlfn.LAMBDA(_xlpm.start_date,_xlpm.end_date, (_xlpm.end_date-_xlpm.start_date+1)-(NETWORKDAYS(_xlpm.start_date,_xlpm.end_date)))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<sst xmlns="http://schemas.openxmlformats.org/spreadsheetml/2006/main" count="143" uniqueCount="60">
  <si>
    <t>Order Date</t>
  </si>
  <si>
    <t>Customer Name</t>
  </si>
  <si>
    <t>Region</t>
  </si>
  <si>
    <t>Market</t>
  </si>
  <si>
    <t>Category</t>
  </si>
  <si>
    <t>Segment</t>
  </si>
  <si>
    <t>Sub-Category</t>
  </si>
  <si>
    <t>Sales</t>
  </si>
  <si>
    <t>Quantity</t>
  </si>
  <si>
    <t>Profit</t>
  </si>
  <si>
    <t>Aaron Bergman</t>
  </si>
  <si>
    <t>Central US</t>
  </si>
  <si>
    <t>USCA</t>
  </si>
  <si>
    <t>Technology</t>
  </si>
  <si>
    <t>Consumer</t>
  </si>
  <si>
    <t>Phones</t>
  </si>
  <si>
    <t>Justin Ritter</t>
  </si>
  <si>
    <t>Oceania</t>
  </si>
  <si>
    <t>Asia Pacific</t>
  </si>
  <si>
    <t>Furniture</t>
  </si>
  <si>
    <t>Corporate</t>
  </si>
  <si>
    <t>Chairs</t>
  </si>
  <si>
    <t>Craig Reiter</t>
  </si>
  <si>
    <t>Katherine Murray</t>
  </si>
  <si>
    <t>Western Europe</t>
  </si>
  <si>
    <t>Europe</t>
  </si>
  <si>
    <t>Home Office</t>
  </si>
  <si>
    <t>Rick Hansen</t>
  </si>
  <si>
    <t>Western Africa</t>
  </si>
  <si>
    <t>Africa</t>
  </si>
  <si>
    <t>Copiers</t>
  </si>
  <si>
    <t>Jim Mitchum</t>
  </si>
  <si>
    <t>Toby Swindell</t>
  </si>
  <si>
    <t>Mick Brown</t>
  </si>
  <si>
    <t>Tables</t>
  </si>
  <si>
    <t>Bookcases</t>
  </si>
  <si>
    <t>Western US</t>
  </si>
  <si>
    <t>Office Supplies</t>
  </si>
  <si>
    <t>Art</t>
  </si>
  <si>
    <t>Anthony Jacobs</t>
  </si>
  <si>
    <t>Southern Asia</t>
  </si>
  <si>
    <t>Magdelene Morse</t>
  </si>
  <si>
    <t>Western Asia</t>
  </si>
  <si>
    <t>Vicky Freymann</t>
  </si>
  <si>
    <t>South America</t>
  </si>
  <si>
    <t>LATAM</t>
  </si>
  <si>
    <t>Peter Fuller</t>
  </si>
  <si>
    <t>Eastern Asia</t>
  </si>
  <si>
    <t>Appliances</t>
  </si>
  <si>
    <t>Ben Peterman</t>
  </si>
  <si>
    <t>Storage</t>
  </si>
  <si>
    <t>Patrick Jones</t>
  </si>
  <si>
    <t>Southern Europe</t>
  </si>
  <si>
    <t>Jim Sink</t>
  </si>
  <si>
    <t>Ritsa Hightower</t>
  </si>
  <si>
    <t>Eastern Africa</t>
  </si>
  <si>
    <t>Row Labels</t>
  </si>
  <si>
    <t>Grand Total</t>
  </si>
  <si>
    <t>Column Labels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</si>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</sst>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;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theme="4" tint="0.39997558519241921"/>
      </bottom>
      <diagonal/>
    </border>
    <border>
      <left/>
      <right style="thin">
        <color rgb="FF9BC2E6"/>
      </right>
      <top style="thin">
        <color rgb="FF9BC2E6"/>
      </top>
      <bottom style="thin">
        <color theme="4" tint="0.39997558519241921"/>
      </bottom>
      <diagonal/>
    </border>
    <border>
      <left style="thin">
        <color rgb="FF9BC2E6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9BC2E6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1" fillId="2" borderId="1" xfId="0" applyNumberFormat="1" applyFont="1" applyFill="1" applyBorder="1"/>
    <xf numFmtId="0" fontId="1" fillId="2" borderId="2" xfId="0" applyFont="1" applyFill="1" applyBorder="1"/>
    <xf numFmtId="164" fontId="1" fillId="2" borderId="2" xfId="0" applyNumberFormat="1" applyFont="1" applyFill="1" applyBorder="1"/>
    <xf numFmtId="164" fontId="1" fillId="2" borderId="3" xfId="0" applyNumberFormat="1" applyFont="1" applyFill="1" applyBorder="1"/>
    <xf numFmtId="14" fontId="0" fillId="3" borderId="4" xfId="0" applyNumberFormat="1" applyFill="1" applyBorder="1"/>
    <xf numFmtId="0" fontId="0" fillId="3" borderId="5" xfId="0" applyFill="1" applyBorder="1"/>
    <xf numFmtId="164" fontId="0" fillId="3" borderId="5" xfId="0" applyNumberFormat="1" applyFill="1" applyBorder="1"/>
    <xf numFmtId="164" fontId="0" fillId="3" borderId="6" xfId="0" applyNumberFormat="1" applyFill="1" applyBorder="1"/>
    <xf numFmtId="14" fontId="0" fillId="0" borderId="4" xfId="0" applyNumberFormat="1" applyBorder="1"/>
    <xf numFmtId="0" fontId="0" fillId="0" borderId="5" xfId="0" applyBorder="1"/>
    <xf numFmtId="164" fontId="0" fillId="0" borderId="5" xfId="0" applyNumberFormat="1" applyBorder="1"/>
    <xf numFmtId="164" fontId="0" fillId="0" borderId="6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909F52-DA10-497B-B685-3F45164B6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43800" cy="77714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30C097-031F-4A8D-98E4-591280B20ACC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93BBC8-494E-4A4F-9349-E104FC0F1EDC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BC99E0-F06A-4880-9E4B-AFDCF6F3484E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6E01FE-AA94-483A-991B-76ADCD98F0EE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75F8108-D3BB-40EB-B292-608930135EC2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323850</xdr:colOff>
      <xdr:row>1</xdr:row>
      <xdr:rowOff>142875</xdr:rowOff>
    </xdr:from>
    <xdr:to>
      <xdr:col>15</xdr:col>
      <xdr:colOff>400050</xdr:colOff>
      <xdr:row>6</xdr:row>
      <xdr:rowOff>161925</xdr:rowOff>
    </xdr:to>
    <xdr:sp macro="[0]!Create_Pivot_Tab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573602-676C-4DAC-8820-EA61753AA9CA}"/>
            </a:ext>
          </a:extLst>
        </xdr:cNvPr>
        <xdr:cNvSpPr/>
      </xdr:nvSpPr>
      <xdr:spPr>
        <a:xfrm>
          <a:off x="9696450" y="333375"/>
          <a:ext cx="190500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000" b="1"/>
            <a:t>CREATE PIVOT TABLE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vish Madhvapaty" refreshedDate="44621.691093634261" createdVersion="3" refreshedVersion="7" minRefreshableVersion="3" recordCount="20" xr:uid="{2441CD1F-D44B-461E-9C63-4B374FC8C47B}">
  <cacheSource type="worksheet">
    <worksheetSource ref="A1:J21" sheet="Data Sheet"/>
  </cacheSource>
  <cacheFields count="10">
    <cacheField name="Order Date" numFmtId="14">
      <sharedItems containsSemiMixedTypes="0" containsNonDate="0" containsDate="1" containsString="0" minDate="2012-02-19T00:00:00" maxDate="2015-12-06T00:00:00"/>
    </cacheField>
    <cacheField name="Customer Name" numFmtId="0">
      <sharedItems/>
    </cacheField>
    <cacheField name="Region" numFmtId="0">
      <sharedItems/>
    </cacheField>
    <cacheField name="Market" numFmtId="0">
      <sharedItems count="5">
        <s v="USCA"/>
        <s v="Asia Pacific"/>
        <s v="Europe"/>
        <s v="Africa"/>
        <s v="LATAM"/>
      </sharedItems>
    </cacheField>
    <cacheField name="Category" numFmtId="0">
      <sharedItems count="3">
        <s v="Technology"/>
        <s v="Furniture"/>
        <s v="Office Supplies"/>
      </sharedItems>
    </cacheField>
    <cacheField name="Segment" numFmtId="0">
      <sharedItems/>
    </cacheField>
    <cacheField name="Sub-Category" numFmtId="0">
      <sharedItems/>
    </cacheField>
    <cacheField name="Sales" numFmtId="164">
      <sharedItems containsSemiMixedTypes="0" containsString="0" containsNumber="1" minValue="12.624000000000001" maxValue="7958.58"/>
    </cacheField>
    <cacheField name="Quantity" numFmtId="0">
      <sharedItems containsSemiMixedTypes="0" containsString="0" containsNumber="1" containsInteger="1" minValue="1" maxValue="14"/>
    </cacheField>
    <cacheField name="Profit" numFmtId="164">
      <sharedItems containsSemiMixedTypes="0" containsString="0" containsNumber="1" minValue="-288.76499999999999" maxValue="3979.0799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d v="2014-11-11T00:00:00"/>
    <s v="Aaron Bergman"/>
    <s v="Central US"/>
    <x v="0"/>
    <x v="0"/>
    <s v="Consumer"/>
    <s v="Phones"/>
    <n v="221.98"/>
    <n v="2"/>
    <n v="62.15440000000001"/>
  </r>
  <r>
    <d v="2014-02-05T00:00:00"/>
    <s v="Justin Ritter"/>
    <s v="Oceania"/>
    <x v="1"/>
    <x v="1"/>
    <s v="Corporate"/>
    <s v="Chairs"/>
    <n v="3709.3949999999995"/>
    <n v="9"/>
    <n v="-288.76499999999999"/>
  </r>
  <r>
    <d v="2014-10-17T00:00:00"/>
    <s v="Craig Reiter"/>
    <s v="Oceania"/>
    <x v="1"/>
    <x v="0"/>
    <s v="Consumer"/>
    <s v="Phones"/>
    <n v="5175.1710000000012"/>
    <n v="9"/>
    <n v="919.97099999999966"/>
  </r>
  <r>
    <d v="2014-01-28T00:00:00"/>
    <s v="Katherine Murray"/>
    <s v="Western Europe"/>
    <x v="2"/>
    <x v="0"/>
    <s v="Home Office"/>
    <s v="Phones"/>
    <n v="2892.5099999999998"/>
    <n v="5"/>
    <n v="-96.540000000000049"/>
  </r>
  <r>
    <d v="2014-11-05T00:00:00"/>
    <s v="Rick Hansen"/>
    <s v="Western Africa"/>
    <x v="3"/>
    <x v="0"/>
    <s v="Consumer"/>
    <s v="Copiers"/>
    <n v="2832.96"/>
    <n v="8"/>
    <n v="311.52"/>
  </r>
  <r>
    <d v="2014-06-28T00:00:00"/>
    <s v="Jim Mitchum"/>
    <s v="Oceania"/>
    <x v="1"/>
    <x v="0"/>
    <s v="Corporate"/>
    <s v="Phones"/>
    <n v="2862.6750000000002"/>
    <n v="5"/>
    <n v="763.27500000000009"/>
  </r>
  <r>
    <d v="2012-11-06T00:00:00"/>
    <s v="Toby Swindell"/>
    <s v="Oceania"/>
    <x v="1"/>
    <x v="1"/>
    <s v="Consumer"/>
    <s v="Chairs"/>
    <n v="1822.0799999999997"/>
    <n v="4"/>
    <n v="564.84"/>
  </r>
  <r>
    <d v="2013-04-14T00:00:00"/>
    <s v="Mick Brown"/>
    <s v="Oceania"/>
    <x v="1"/>
    <x v="1"/>
    <s v="Consumer"/>
    <s v="Tables"/>
    <n v="5244.84"/>
    <n v="6"/>
    <n v="996.4799999999999"/>
  </r>
  <r>
    <d v="2014-11-11T00:00:00"/>
    <s v="Aaron Bergman"/>
    <s v="Central US"/>
    <x v="0"/>
    <x v="1"/>
    <s v="Consumer"/>
    <s v="Bookcases"/>
    <n v="341.96"/>
    <n v="2"/>
    <n v="54.713599999999985"/>
  </r>
  <r>
    <d v="2012-03-06T00:00:00"/>
    <s v="Aaron Bergman"/>
    <s v="Western US"/>
    <x v="0"/>
    <x v="1"/>
    <s v="Consumer"/>
    <s v="Chairs"/>
    <n v="48.712000000000003"/>
    <n v="1"/>
    <n v="5.4800999999999966"/>
  </r>
  <r>
    <d v="2012-03-06T00:00:00"/>
    <s v="Aaron Bergman"/>
    <s v="Western US"/>
    <x v="0"/>
    <x v="2"/>
    <s v="Consumer"/>
    <s v="Art"/>
    <n v="17.940000000000001"/>
    <n v="3"/>
    <n v="4.6644000000000005"/>
  </r>
  <r>
    <d v="2013-04-19T00:00:00"/>
    <s v="Anthony Jacobs"/>
    <s v="Southern Asia"/>
    <x v="1"/>
    <x v="1"/>
    <s v="Corporate"/>
    <s v="Tables"/>
    <n v="4626.1499999999996"/>
    <n v="5"/>
    <n v="647.54999999999995"/>
  </r>
  <r>
    <d v="2012-12-26T00:00:00"/>
    <s v="Magdelene Morse"/>
    <s v="Western Asia"/>
    <x v="1"/>
    <x v="0"/>
    <s v="Consumer"/>
    <s v="Phones"/>
    <n v="2616.96"/>
    <n v="4"/>
    <n v="1151.4000000000001"/>
  </r>
  <r>
    <d v="2013-11-13T00:00:00"/>
    <s v="Vicky Freymann"/>
    <s v="South America"/>
    <x v="4"/>
    <x v="1"/>
    <s v="Home Office"/>
    <s v="Chairs"/>
    <n v="2221.8000000000002"/>
    <n v="7"/>
    <n v="622.02"/>
  </r>
  <r>
    <d v="2014-06-06T00:00:00"/>
    <s v="Peter Fuller"/>
    <s v="Eastern Asia"/>
    <x v="1"/>
    <x v="2"/>
    <s v="Consumer"/>
    <s v="Appliances"/>
    <n v="3701.5199999999995"/>
    <n v="12"/>
    <n v="1036.08"/>
  </r>
  <r>
    <d v="2015-07-31T00:00:00"/>
    <s v="Ben Peterman"/>
    <s v="Western Europe"/>
    <x v="2"/>
    <x v="2"/>
    <s v="Corporate"/>
    <s v="Appliances"/>
    <n v="1869.5879999999997"/>
    <n v="4"/>
    <n v="186.94800000000004"/>
  </r>
  <r>
    <d v="2012-02-19T00:00:00"/>
    <s v="Aaron Bergman"/>
    <s v="Central US"/>
    <x v="0"/>
    <x v="2"/>
    <s v="Consumer"/>
    <s v="Storage"/>
    <n v="12.624000000000001"/>
    <n v="2"/>
    <n v="-2.5248000000000022"/>
  </r>
  <r>
    <d v="2015-09-08T00:00:00"/>
    <s v="Patrick Jones"/>
    <s v="Southern Europe"/>
    <x v="2"/>
    <x v="2"/>
    <s v="Corporate"/>
    <s v="Appliances"/>
    <n v="7958.58"/>
    <n v="14"/>
    <n v="3979.0799999999995"/>
  </r>
  <r>
    <d v="2015-01-31T00:00:00"/>
    <s v="Jim Sink"/>
    <s v="Oceania"/>
    <x v="1"/>
    <x v="0"/>
    <s v="Corporate"/>
    <s v="Copiers"/>
    <n v="2565.5940000000001"/>
    <n v="9"/>
    <n v="28.40399999999994"/>
  </r>
  <r>
    <d v="2015-12-05T00:00:00"/>
    <s v="Ritsa Hightower"/>
    <s v="Eastern Africa"/>
    <x v="3"/>
    <x v="2"/>
    <s v="Consumer"/>
    <s v="Appliances"/>
    <n v="3409.74"/>
    <n v="6"/>
    <n v="818.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30799E-1080-4A8D-95A3-45DC6DFF3041}" name="PivotTableSales" cacheId="0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B2:F9" firstHeaderRow="1" firstDataRow="2" firstDataCol="1"/>
  <pivotFields count="10">
    <pivotField numFmtId="14" showAll="0"/>
    <pivotField showAll="0"/>
    <pivotField showAll="0"/>
    <pivotField axis="axisRow" showAll="0">
      <items count="6">
        <item x="3"/>
        <item x="1"/>
        <item x="2"/>
        <item x="4"/>
        <item x="0"/>
        <item t="default"/>
      </items>
    </pivotField>
    <pivotField axis="axisCol" showAll="0">
      <items count="4">
        <item x="1"/>
        <item x="2"/>
        <item x="0"/>
        <item t="default"/>
      </items>
    </pivotField>
    <pivotField showAll="0"/>
    <pivotField showAll="0"/>
    <pivotField dataField="1" numFmtId="164" showAll="0"/>
    <pivotField showAll="0"/>
    <pivotField numFmtId="164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 of Sales" fld="7" baseField="0" baseItem="0" numFmtId="165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79E4D-3DF1-4FE9-9590-1D25DFD7AE6E}">
  <sheetPr codeName="Sheet2"/>
  <dimension ref="A1:Y48"/>
  <sheetViews>
    <sheetView showGridLines="0" tabSelected="1" zoomScale="61" workbookViewId="0">
      <selection activeCell="U38" sqref="U38"/>
    </sheetView>
  </sheetViews>
  <sheetFormatPr defaultColWidth="0" defaultRowHeight="15" customHeight="1" zeroHeight="1" x14ac:dyDescent="0.25"/>
  <cols>
    <col min="1" max="25" width="8.85546875" customWidth="1"/>
    <col min="26" max="16384" width="8.8554687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352B6-9E3C-4AA4-B207-C98E0C2483A8}">
  <sheetPr codeName="Sheet24"/>
  <dimension ref="B2:F9"/>
  <sheetViews>
    <sheetView workbookViewId="0">
      <selection activeCell="G12" sqref="G12"/>
    </sheetView>
  </sheetViews>
  <sheetFormatPr defaultRowHeight="15" x14ac:dyDescent="0.25"/>
  <cols>
    <col min="2" max="2" width="13.140625" bestFit="1" customWidth="1"/>
    <col min="3" max="3" width="16.28515625" bestFit="1" customWidth="1"/>
    <col min="4" max="4" width="14.5703125" bestFit="1" customWidth="1"/>
    <col min="5" max="5" width="11.140625" bestFit="1" customWidth="1"/>
    <col min="6" max="6" width="11.28515625" bestFit="1" customWidth="1"/>
  </cols>
  <sheetData>
    <row r="2" spans="2:6" x14ac:dyDescent="0.25">
      <c r="B2" s="13" t="s">
        <v>59</v>
      </c>
      <c r="C2" s="13" t="s">
        <v>58</v>
      </c>
    </row>
    <row r="3" spans="2:6" x14ac:dyDescent="0.25">
      <c r="B3" s="13" t="s">
        <v>56</v>
      </c>
      <c r="C3" t="s">
        <v>19</v>
      </c>
      <c r="D3" t="s">
        <v>37</v>
      </c>
      <c r="E3" t="s">
        <v>13</v>
      </c>
      <c r="F3" t="s">
        <v>57</v>
      </c>
    </row>
    <row r="4" spans="2:6" x14ac:dyDescent="0.25">
      <c r="B4" s="14" t="s">
        <v>29</v>
      </c>
      <c r="C4" s="15"/>
      <c r="D4" s="15">
        <v>3409.74</v>
      </c>
      <c r="E4" s="15">
        <v>2832.96</v>
      </c>
      <c r="F4" s="15">
        <v>6242.7</v>
      </c>
    </row>
    <row r="5" spans="2:6" x14ac:dyDescent="0.25">
      <c r="B5" s="14" t="s">
        <v>18</v>
      </c>
      <c r="C5" s="15">
        <v>15402.464999999998</v>
      </c>
      <c r="D5" s="15">
        <v>3701.5199999999995</v>
      </c>
      <c r="E5" s="15">
        <v>13220.400000000001</v>
      </c>
      <c r="F5" s="15">
        <v>32324.384999999998</v>
      </c>
    </row>
    <row r="6" spans="2:6" x14ac:dyDescent="0.25">
      <c r="B6" s="14" t="s">
        <v>25</v>
      </c>
      <c r="C6" s="15"/>
      <c r="D6" s="15">
        <v>9828.1679999999997</v>
      </c>
      <c r="E6" s="15">
        <v>2892.5099999999998</v>
      </c>
      <c r="F6" s="15">
        <v>12720.678</v>
      </c>
    </row>
    <row r="7" spans="2:6" x14ac:dyDescent="0.25">
      <c r="B7" s="14" t="s">
        <v>45</v>
      </c>
      <c r="C7" s="15">
        <v>2221.8000000000002</v>
      </c>
      <c r="D7" s="15"/>
      <c r="E7" s="15"/>
      <c r="F7" s="15">
        <v>2221.8000000000002</v>
      </c>
    </row>
    <row r="8" spans="2:6" x14ac:dyDescent="0.25">
      <c r="B8" s="14" t="s">
        <v>12</v>
      </c>
      <c r="C8" s="15">
        <v>390.67199999999997</v>
      </c>
      <c r="D8" s="15">
        <v>30.564</v>
      </c>
      <c r="E8" s="15">
        <v>221.98</v>
      </c>
      <c r="F8" s="15">
        <v>643.21600000000001</v>
      </c>
    </row>
    <row r="9" spans="2:6" x14ac:dyDescent="0.25">
      <c r="B9" s="14" t="s">
        <v>57</v>
      </c>
      <c r="C9" s="15">
        <v>18014.936999999998</v>
      </c>
      <c r="D9" s="15">
        <v>16969.991999999998</v>
      </c>
      <c r="E9" s="15">
        <v>19167.849999999999</v>
      </c>
      <c r="F9" s="15">
        <v>54152.779000000002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A1169-33A2-4824-B806-0CFCABE7AD88}">
  <sheetPr codeName="Sheet1"/>
  <dimension ref="A1:J21"/>
  <sheetViews>
    <sheetView zoomScaleNormal="100" workbookViewId="0">
      <selection activeCell="L7" sqref="L7"/>
    </sheetView>
  </sheetViews>
  <sheetFormatPr defaultRowHeight="15" x14ac:dyDescent="0.25"/>
  <cols>
    <col min="1" max="1" width="10.7109375" bestFit="1" customWidth="1"/>
    <col min="2" max="2" width="17.28515625" bestFit="1" customWidth="1"/>
    <col min="3" max="3" width="16" bestFit="1" customWidth="1"/>
    <col min="4" max="4" width="10.85546875" bestFit="1" customWidth="1"/>
    <col min="5" max="5" width="14.5703125" bestFit="1" customWidth="1"/>
    <col min="6" max="6" width="12.140625" bestFit="1" customWidth="1"/>
    <col min="7" max="7" width="12.85546875" bestFit="1" customWidth="1"/>
    <col min="8" max="8" width="9.5703125" bestFit="1" customWidth="1"/>
    <col min="9" max="9" width="8.7109375" bestFit="1" customWidth="1"/>
    <col min="10" max="10" width="9.5703125" bestFit="1" customWidth="1"/>
  </cols>
  <sheetData>
    <row r="1" spans="1:1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4" t="s">
        <v>9</v>
      </c>
    </row>
    <row r="2" spans="1:10" x14ac:dyDescent="0.25">
      <c r="A2" s="5">
        <v>41954</v>
      </c>
      <c r="B2" s="6" t="s">
        <v>10</v>
      </c>
      <c r="C2" s="6" t="s">
        <v>11</v>
      </c>
      <c r="D2" s="6" t="s">
        <v>12</v>
      </c>
      <c r="E2" s="6" t="s">
        <v>13</v>
      </c>
      <c r="F2" s="6" t="s">
        <v>14</v>
      </c>
      <c r="G2" s="6" t="s">
        <v>15</v>
      </c>
      <c r="H2" s="7">
        <v>221.98</v>
      </c>
      <c r="I2" s="6">
        <v>2</v>
      </c>
      <c r="J2" s="8">
        <v>62.15440000000001</v>
      </c>
    </row>
    <row r="3" spans="1:10" x14ac:dyDescent="0.25">
      <c r="A3" s="9">
        <v>41675</v>
      </c>
      <c r="B3" s="10" t="s">
        <v>16</v>
      </c>
      <c r="C3" s="10" t="s">
        <v>17</v>
      </c>
      <c r="D3" s="10" t="s">
        <v>18</v>
      </c>
      <c r="E3" s="10" t="s">
        <v>19</v>
      </c>
      <c r="F3" s="10" t="s">
        <v>20</v>
      </c>
      <c r="G3" s="10" t="s">
        <v>21</v>
      </c>
      <c r="H3" s="11">
        <v>3709.3949999999995</v>
      </c>
      <c r="I3" s="10">
        <v>9</v>
      </c>
      <c r="J3" s="12">
        <v>-288.76499999999999</v>
      </c>
    </row>
    <row r="4" spans="1:10" x14ac:dyDescent="0.25">
      <c r="A4" s="5">
        <v>41929</v>
      </c>
      <c r="B4" s="6" t="s">
        <v>22</v>
      </c>
      <c r="C4" s="6" t="s">
        <v>17</v>
      </c>
      <c r="D4" s="6" t="s">
        <v>18</v>
      </c>
      <c r="E4" s="6" t="s">
        <v>13</v>
      </c>
      <c r="F4" s="6" t="s">
        <v>14</v>
      </c>
      <c r="G4" s="6" t="s">
        <v>15</v>
      </c>
      <c r="H4" s="7">
        <v>5175.1710000000012</v>
      </c>
      <c r="I4" s="6">
        <v>9</v>
      </c>
      <c r="J4" s="8">
        <v>919.97099999999966</v>
      </c>
    </row>
    <row r="5" spans="1:10" x14ac:dyDescent="0.25">
      <c r="A5" s="9">
        <v>41667</v>
      </c>
      <c r="B5" s="10" t="s">
        <v>23</v>
      </c>
      <c r="C5" s="10" t="s">
        <v>24</v>
      </c>
      <c r="D5" s="10" t="s">
        <v>25</v>
      </c>
      <c r="E5" s="10" t="s">
        <v>13</v>
      </c>
      <c r="F5" s="10" t="s">
        <v>26</v>
      </c>
      <c r="G5" s="10" t="s">
        <v>15</v>
      </c>
      <c r="H5" s="11">
        <v>2892.5099999999998</v>
      </c>
      <c r="I5" s="10">
        <v>5</v>
      </c>
      <c r="J5" s="12">
        <v>-96.540000000000049</v>
      </c>
    </row>
    <row r="6" spans="1:10" x14ac:dyDescent="0.25">
      <c r="A6" s="5">
        <v>41948</v>
      </c>
      <c r="B6" s="6" t="s">
        <v>27</v>
      </c>
      <c r="C6" s="6" t="s">
        <v>28</v>
      </c>
      <c r="D6" s="6" t="s">
        <v>29</v>
      </c>
      <c r="E6" s="6" t="s">
        <v>13</v>
      </c>
      <c r="F6" s="6" t="s">
        <v>14</v>
      </c>
      <c r="G6" s="6" t="s">
        <v>30</v>
      </c>
      <c r="H6" s="7">
        <v>2832.96</v>
      </c>
      <c r="I6" s="6">
        <v>8</v>
      </c>
      <c r="J6" s="8">
        <v>311.52</v>
      </c>
    </row>
    <row r="7" spans="1:10" x14ac:dyDescent="0.25">
      <c r="A7" s="9">
        <v>41818</v>
      </c>
      <c r="B7" s="10" t="s">
        <v>31</v>
      </c>
      <c r="C7" s="10" t="s">
        <v>17</v>
      </c>
      <c r="D7" s="10" t="s">
        <v>18</v>
      </c>
      <c r="E7" s="10" t="s">
        <v>13</v>
      </c>
      <c r="F7" s="10" t="s">
        <v>20</v>
      </c>
      <c r="G7" s="10" t="s">
        <v>15</v>
      </c>
      <c r="H7" s="11">
        <v>2862.6750000000002</v>
      </c>
      <c r="I7" s="10">
        <v>5</v>
      </c>
      <c r="J7" s="12">
        <v>763.27500000000009</v>
      </c>
    </row>
    <row r="8" spans="1:10" x14ac:dyDescent="0.25">
      <c r="A8" s="5">
        <v>41219</v>
      </c>
      <c r="B8" s="6" t="s">
        <v>32</v>
      </c>
      <c r="C8" s="6" t="s">
        <v>17</v>
      </c>
      <c r="D8" s="6" t="s">
        <v>18</v>
      </c>
      <c r="E8" s="6" t="s">
        <v>19</v>
      </c>
      <c r="F8" s="6" t="s">
        <v>14</v>
      </c>
      <c r="G8" s="6" t="s">
        <v>21</v>
      </c>
      <c r="H8" s="7">
        <v>1822.0799999999997</v>
      </c>
      <c r="I8" s="6">
        <v>4</v>
      </c>
      <c r="J8" s="8">
        <v>564.84</v>
      </c>
    </row>
    <row r="9" spans="1:10" x14ac:dyDescent="0.25">
      <c r="A9" s="9">
        <v>41378</v>
      </c>
      <c r="B9" s="10" t="s">
        <v>33</v>
      </c>
      <c r="C9" s="10" t="s">
        <v>17</v>
      </c>
      <c r="D9" s="10" t="s">
        <v>18</v>
      </c>
      <c r="E9" s="10" t="s">
        <v>19</v>
      </c>
      <c r="F9" s="10" t="s">
        <v>14</v>
      </c>
      <c r="G9" s="10" t="s">
        <v>34</v>
      </c>
      <c r="H9" s="11">
        <v>5244.84</v>
      </c>
      <c r="I9" s="10">
        <v>6</v>
      </c>
      <c r="J9" s="12">
        <v>996.4799999999999</v>
      </c>
    </row>
    <row r="10" spans="1:10" x14ac:dyDescent="0.25">
      <c r="A10" s="5">
        <v>41954</v>
      </c>
      <c r="B10" s="6" t="s">
        <v>10</v>
      </c>
      <c r="C10" s="6" t="s">
        <v>11</v>
      </c>
      <c r="D10" s="6" t="s">
        <v>12</v>
      </c>
      <c r="E10" s="6" t="s">
        <v>19</v>
      </c>
      <c r="F10" s="6" t="s">
        <v>14</v>
      </c>
      <c r="G10" s="6" t="s">
        <v>35</v>
      </c>
      <c r="H10" s="7">
        <v>341.96</v>
      </c>
      <c r="I10" s="6">
        <v>2</v>
      </c>
      <c r="J10" s="8">
        <v>54.713599999999985</v>
      </c>
    </row>
    <row r="11" spans="1:10" x14ac:dyDescent="0.25">
      <c r="A11" s="9">
        <v>40974</v>
      </c>
      <c r="B11" s="10" t="s">
        <v>10</v>
      </c>
      <c r="C11" s="10" t="s">
        <v>36</v>
      </c>
      <c r="D11" s="10" t="s">
        <v>12</v>
      </c>
      <c r="E11" s="10" t="s">
        <v>19</v>
      </c>
      <c r="F11" s="10" t="s">
        <v>14</v>
      </c>
      <c r="G11" s="10" t="s">
        <v>21</v>
      </c>
      <c r="H11" s="11">
        <v>48.712000000000003</v>
      </c>
      <c r="I11" s="10">
        <v>1</v>
      </c>
      <c r="J11" s="12">
        <v>5.4800999999999966</v>
      </c>
    </row>
    <row r="12" spans="1:10" x14ac:dyDescent="0.25">
      <c r="A12" s="5">
        <v>40974</v>
      </c>
      <c r="B12" s="6" t="s">
        <v>10</v>
      </c>
      <c r="C12" s="6" t="s">
        <v>36</v>
      </c>
      <c r="D12" s="6" t="s">
        <v>12</v>
      </c>
      <c r="E12" s="6" t="s">
        <v>37</v>
      </c>
      <c r="F12" s="6" t="s">
        <v>14</v>
      </c>
      <c r="G12" s="6" t="s">
        <v>38</v>
      </c>
      <c r="H12" s="7">
        <v>17.940000000000001</v>
      </c>
      <c r="I12" s="6">
        <v>3</v>
      </c>
      <c r="J12" s="8">
        <v>4.6644000000000005</v>
      </c>
    </row>
    <row r="13" spans="1:10" x14ac:dyDescent="0.25">
      <c r="A13" s="9">
        <v>41383</v>
      </c>
      <c r="B13" s="10" t="s">
        <v>39</v>
      </c>
      <c r="C13" s="10" t="s">
        <v>40</v>
      </c>
      <c r="D13" s="10" t="s">
        <v>18</v>
      </c>
      <c r="E13" s="10" t="s">
        <v>19</v>
      </c>
      <c r="F13" s="10" t="s">
        <v>20</v>
      </c>
      <c r="G13" s="10" t="s">
        <v>34</v>
      </c>
      <c r="H13" s="11">
        <v>4626.1499999999996</v>
      </c>
      <c r="I13" s="10">
        <v>5</v>
      </c>
      <c r="J13" s="12">
        <v>647.54999999999995</v>
      </c>
    </row>
    <row r="14" spans="1:10" x14ac:dyDescent="0.25">
      <c r="A14" s="5">
        <v>41269</v>
      </c>
      <c r="B14" s="6" t="s">
        <v>41</v>
      </c>
      <c r="C14" s="6" t="s">
        <v>42</v>
      </c>
      <c r="D14" s="6" t="s">
        <v>18</v>
      </c>
      <c r="E14" s="6" t="s">
        <v>13</v>
      </c>
      <c r="F14" s="6" t="s">
        <v>14</v>
      </c>
      <c r="G14" s="6" t="s">
        <v>15</v>
      </c>
      <c r="H14" s="7">
        <v>2616.96</v>
      </c>
      <c r="I14" s="6">
        <v>4</v>
      </c>
      <c r="J14" s="8">
        <v>1151.4000000000001</v>
      </c>
    </row>
    <row r="15" spans="1:10" x14ac:dyDescent="0.25">
      <c r="A15" s="9">
        <v>41591</v>
      </c>
      <c r="B15" s="10" t="s">
        <v>43</v>
      </c>
      <c r="C15" s="10" t="s">
        <v>44</v>
      </c>
      <c r="D15" s="10" t="s">
        <v>45</v>
      </c>
      <c r="E15" s="10" t="s">
        <v>19</v>
      </c>
      <c r="F15" s="10" t="s">
        <v>26</v>
      </c>
      <c r="G15" s="10" t="s">
        <v>21</v>
      </c>
      <c r="H15" s="11">
        <v>2221.8000000000002</v>
      </c>
      <c r="I15" s="10">
        <v>7</v>
      </c>
      <c r="J15" s="12">
        <v>622.02</v>
      </c>
    </row>
    <row r="16" spans="1:10" x14ac:dyDescent="0.25">
      <c r="A16" s="5">
        <v>41796</v>
      </c>
      <c r="B16" s="6" t="s">
        <v>46</v>
      </c>
      <c r="C16" s="6" t="s">
        <v>47</v>
      </c>
      <c r="D16" s="6" t="s">
        <v>18</v>
      </c>
      <c r="E16" s="6" t="s">
        <v>37</v>
      </c>
      <c r="F16" s="6" t="s">
        <v>14</v>
      </c>
      <c r="G16" s="6" t="s">
        <v>48</v>
      </c>
      <c r="H16" s="7">
        <v>3701.5199999999995</v>
      </c>
      <c r="I16" s="6">
        <v>12</v>
      </c>
      <c r="J16" s="8">
        <v>1036.08</v>
      </c>
    </row>
    <row r="17" spans="1:10" x14ac:dyDescent="0.25">
      <c r="A17" s="9">
        <v>42216</v>
      </c>
      <c r="B17" s="10" t="s">
        <v>49</v>
      </c>
      <c r="C17" s="10" t="s">
        <v>24</v>
      </c>
      <c r="D17" s="10" t="s">
        <v>25</v>
      </c>
      <c r="E17" s="10" t="s">
        <v>37</v>
      </c>
      <c r="F17" s="10" t="s">
        <v>20</v>
      </c>
      <c r="G17" s="10" t="s">
        <v>48</v>
      </c>
      <c r="H17" s="11">
        <v>1869.5879999999997</v>
      </c>
      <c r="I17" s="10">
        <v>4</v>
      </c>
      <c r="J17" s="12">
        <v>186.94800000000004</v>
      </c>
    </row>
    <row r="18" spans="1:10" x14ac:dyDescent="0.25">
      <c r="A18" s="5">
        <v>40958</v>
      </c>
      <c r="B18" s="6" t="s">
        <v>10</v>
      </c>
      <c r="C18" s="6" t="s">
        <v>11</v>
      </c>
      <c r="D18" s="6" t="s">
        <v>12</v>
      </c>
      <c r="E18" s="6" t="s">
        <v>37</v>
      </c>
      <c r="F18" s="6" t="s">
        <v>14</v>
      </c>
      <c r="G18" s="6" t="s">
        <v>50</v>
      </c>
      <c r="H18" s="7">
        <v>12.624000000000001</v>
      </c>
      <c r="I18" s="6">
        <v>2</v>
      </c>
      <c r="J18" s="8">
        <v>-2.5248000000000022</v>
      </c>
    </row>
    <row r="19" spans="1:10" x14ac:dyDescent="0.25">
      <c r="A19" s="9">
        <v>42255</v>
      </c>
      <c r="B19" s="10" t="s">
        <v>51</v>
      </c>
      <c r="C19" s="10" t="s">
        <v>52</v>
      </c>
      <c r="D19" s="10" t="s">
        <v>25</v>
      </c>
      <c r="E19" s="10" t="s">
        <v>37</v>
      </c>
      <c r="F19" s="10" t="s">
        <v>20</v>
      </c>
      <c r="G19" s="10" t="s">
        <v>48</v>
      </c>
      <c r="H19" s="11">
        <v>7958.58</v>
      </c>
      <c r="I19" s="10">
        <v>14</v>
      </c>
      <c r="J19" s="12">
        <v>3979.0799999999995</v>
      </c>
    </row>
    <row r="20" spans="1:10" x14ac:dyDescent="0.25">
      <c r="A20" s="5">
        <v>42035</v>
      </c>
      <c r="B20" s="6" t="s">
        <v>53</v>
      </c>
      <c r="C20" s="6" t="s">
        <v>17</v>
      </c>
      <c r="D20" s="6" t="s">
        <v>18</v>
      </c>
      <c r="E20" s="6" t="s">
        <v>13</v>
      </c>
      <c r="F20" s="6" t="s">
        <v>20</v>
      </c>
      <c r="G20" s="6" t="s">
        <v>30</v>
      </c>
      <c r="H20" s="7">
        <v>2565.5940000000001</v>
      </c>
      <c r="I20" s="6">
        <v>9</v>
      </c>
      <c r="J20" s="8">
        <v>28.40399999999994</v>
      </c>
    </row>
    <row r="21" spans="1:10" x14ac:dyDescent="0.25">
      <c r="A21" s="9">
        <v>42343</v>
      </c>
      <c r="B21" s="10" t="s">
        <v>54</v>
      </c>
      <c r="C21" s="10" t="s">
        <v>55</v>
      </c>
      <c r="D21" s="10" t="s">
        <v>29</v>
      </c>
      <c r="E21" s="10" t="s">
        <v>37</v>
      </c>
      <c r="F21" s="10" t="s">
        <v>14</v>
      </c>
      <c r="G21" s="10" t="s">
        <v>48</v>
      </c>
      <c r="H21" s="11">
        <v>3409.74</v>
      </c>
      <c r="I21" s="10">
        <v>6</v>
      </c>
      <c r="J21" s="12">
        <v>818.28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Pivot Sheet</vt:lpstr>
      <vt:lpstr>Data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2022-03-01T10:25:53Z</dcterms:created>
  <dcterms:modified xsi:type="dcterms:W3CDTF">2022-03-01T11:23:57Z</dcterms:modified>
</cp:coreProperties>
</file>